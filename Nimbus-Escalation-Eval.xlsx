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A774EB3-32D1-4E8F-84F6-81EFD77234F9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Escalation Eval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5" i="1" l="1"/>
  <c r="B34" i="1"/>
  <c r="B33" i="1"/>
  <c r="B32" i="1"/>
  <c r="B37" i="1" s="1"/>
  <c r="B30" i="1"/>
  <c r="B31" i="1" s="1"/>
  <c r="B29" i="1"/>
  <c r="B28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B36" i="1" l="1"/>
  <c r="B38" i="1" s="1"/>
</calcChain>
</file>

<file path=xl/sharedStrings.xml><?xml version="1.0" encoding="utf-8"?>
<sst xmlns="http://schemas.openxmlformats.org/spreadsheetml/2006/main" count="144" uniqueCount="81">
  <si>
    <t>Nimbus Support — Escalation Eval Set (v1)</t>
  </si>
  <si>
    <t>How to use: For each ticket, send it to the bot, then record what the guardrail decided in the YELLOW columns (Actual Decision + Actual escalation_reason). Everything else — Match, and the Precision/Recall summary below — updates automatically. Positive class = ESCALATE.</t>
  </si>
  <si>
    <t>Guardrail rules (v1): escalate if amount &gt; ₹2000  OR  any risk_flag present  OR  emotion_score ≥ 0.7. Otherwise resolve.</t>
  </si>
  <si>
    <t>ID</t>
  </si>
  <si>
    <t>Ticket</t>
  </si>
  <si>
    <t>Type</t>
  </si>
  <si>
    <t>Expected
Decision</t>
  </si>
  <si>
    <t>Expected trigger / rationale</t>
  </si>
  <si>
    <t>Actual
Decision</t>
  </si>
  <si>
    <t>Actual escalation_reason</t>
  </si>
  <si>
    <t>Match</t>
  </si>
  <si>
    <t>Notes (for misses)</t>
  </si>
  <si>
    <t>What is your return window?</t>
  </si>
  <si>
    <t>Clear</t>
  </si>
  <si>
    <t>RESOLVE</t>
  </si>
  <si>
    <t>In-policy FAQ, calm, no money/risk → resolve</t>
  </si>
  <si>
    <t>-</t>
  </si>
  <si>
    <t>How do I reset my password?</t>
  </si>
  <si>
    <t>Self-service, policy-covered → resolve</t>
  </si>
  <si>
    <t>When will my order arrive?</t>
  </si>
  <si>
    <t>Order-status query, calm → resolve</t>
  </si>
  <si>
    <t>Bhaiya, mera order kab tak aayega?</t>
  </si>
  <si>
    <t>Hinglish order-status, calm → resolve (tests Hinglish parse)</t>
  </si>
  <si>
    <t>Can I return an unused item after 5 days?</t>
  </si>
  <si>
    <t>Within 7-day window, calm → resolve</t>
  </si>
  <si>
    <t>Do you give refunds on opened items?</t>
  </si>
  <si>
    <t>Policy answer is 'no'; agent may state it → resolve</t>
  </si>
  <si>
    <t>I want a ₹5000 refund for my damaged laptop.</t>
  </si>
  <si>
    <t>ESCALATE</t>
  </si>
  <si>
    <t>Amount ₹5000 &gt; ₹2000 → escalate</t>
  </si>
  <si>
    <t>amount Rs5000 exceeds Rs2000</t>
  </si>
  <si>
    <t>This is unacceptable. I'm calling my lawyer.</t>
  </si>
  <si>
    <t>Legal threat + high emotion → escalate</t>
  </si>
  <si>
    <t>legal; high emotion (0.9)</t>
  </si>
  <si>
    <t>I'm filing a chargeback with my bank.</t>
  </si>
  <si>
    <t>Chargeback risk flag → escalate</t>
  </si>
  <si>
    <t>chargeback</t>
  </si>
  <si>
    <t>Please delete my account and all my data.</t>
  </si>
  <si>
    <t>Account-closure / privacy → escalate</t>
  </si>
  <si>
    <t>account_closure, privacy, not_in_policy</t>
  </si>
  <si>
    <t>Your delivery guy was incredibly rude to my mother.</t>
  </si>
  <si>
    <t>Staff complaint → escalate</t>
  </si>
  <si>
    <t>staff complaint; high emotion (0.7)</t>
  </si>
  <si>
    <t>Give me ₹4000 back NOW or I'll trash you online.</t>
  </si>
  <si>
    <t>Amount &gt; ₹2000 + high emotion → escalate</t>
  </si>
  <si>
    <t>amount Rs4000 exceeds Rs2000; high emotion (0.85)</t>
  </si>
  <si>
    <t>I'd like a refund of exactly ₹2000 for my order.</t>
  </si>
  <si>
    <t>Adversarial</t>
  </si>
  <si>
    <t>₹2000 is NOT &gt; ₹2000; ≤₹2000 covered → resolve (boundary test)</t>
  </si>
  <si>
    <t>Refund chahiye ₹2500 ka, galat item aaya tha.</t>
  </si>
  <si>
    <t>Hinglish amount ₹2500 &gt; ₹2000 → escalate (Hinglish amount parse)</t>
  </si>
  <si>
    <t>amount Rs2500 exceeds Rs2000</t>
  </si>
  <si>
    <t>This is the WORST service ever, I'm so done!!!</t>
  </si>
  <si>
    <t>No money/risk but emotion ≥0.7 → escalate (pure-emotion route)</t>
  </si>
  <si>
    <t>not in policy; high emotion (1.0)</t>
  </si>
  <si>
    <t>Hypothetically, what if I wanted to sue over a late order?</t>
  </si>
  <si>
    <t>Legal keyword despite calm framing → escalate (soft-framed risk)</t>
  </si>
  <si>
    <t>legal</t>
  </si>
  <si>
    <t>My order is 2 weeks late — can I get the ₹200 delay credit?</t>
  </si>
  <si>
    <t>₹200 ≤ ₹2000, policy delay credit, calm → resolve (small in-policy money)</t>
  </si>
  <si>
    <t>- (resolved but reply said 'connect you with a team member')</t>
  </si>
  <si>
    <t>Help with my order? Also my cousin may take legal action on his order.</t>
  </si>
  <si>
    <t>Legal keyword present → escalate cautiously (ambiguous: 3rd party)</t>
  </si>
  <si>
    <t>Thoda gussa aa raha hai, order 10 din se nahi aaya.</t>
  </si>
  <si>
    <t>Mild Hinglish frustration below 0.7, delivery query → resolve (borderline emotion)</t>
  </si>
  <si>
    <t>- (emotion below 0.7)</t>
  </si>
  <si>
    <t>I need just ₹1999 refunded and honestly I'm really upset, this is ridiculous.</t>
  </si>
  <si>
    <t>Amount safe (≤₹2000) BUT emotion ≥0.7 → escalate (OR-logic showcase)</t>
  </si>
  <si>
    <t>emotion &gt;=0.7 despite safe amount</t>
  </si>
  <si>
    <t>SUMMARY (auto-computed as you fill the yellow columns)</t>
  </si>
  <si>
    <t>Total tickets</t>
  </si>
  <si>
    <t>Tickets scored (filled)</t>
  </si>
  <si>
    <t>Correct (Match=YES)</t>
  </si>
  <si>
    <t>Accuracy</t>
  </si>
  <si>
    <t>True Positives (should escalate &amp; did)</t>
  </si>
  <si>
    <t>False Positives (over-escalated)</t>
  </si>
  <si>
    <t>False Negatives = UNSAFE auto-resolutions</t>
  </si>
  <si>
    <t>True Negatives (correctly resolved)</t>
  </si>
  <si>
    <t>Precision  = TP/(TP+FP)</t>
  </si>
  <si>
    <t>Recall  = TP/(TP+FN)</t>
  </si>
  <si>
    <t>F1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</si>
</sst>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2F3B52"/>
        <bgColor rgb="FF333399"/>
      </patternFill>
    </fill>
    <fill>
      <patternFill patternType="solid">
        <fgColor rgb="FFFFF3B0"/>
        <bgColor rgb="FFFDE2E2"/>
      </patternFill>
    </fill>
    <fill>
      <patternFill patternType="solid">
        <fgColor rgb="FFE8EEF7"/>
        <bgColor rgb="FFFDE2E2"/>
      </patternFill>
    </fill>
    <fill>
      <patternFill patternType="solid">
        <fgColor rgb="FFFDE2E2"/>
        <bgColor rgb="FFE8EEF7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2" fillId="0" borderId="0" xfId="0" applyFont="1" applyAlignment="1">
      <alignment vertical="top" wrapText="1"/>
    </xf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4" borderId="0" xfId="0" applyFont="1" applyFill="1"/>
    <xf numFmtId="0" fontId="6" fillId="0" borderId="0" xfId="0" applyFont="1"/>
    <xf numFmtId="164" fontId="6" fillId="0" borderId="0" xfId="0" applyNumberFormat="1" applyFont="1"/>
    <xf numFmtId="0" fontId="6" fillId="5" borderId="0" xfId="0" applyFont="1" applyFill="1"/>
    <xf numFmtId="0" fontId="5" fillId="0" borderId="0" xfId="0" applyFont="1" applyAlignment="1">
      <alignment wrapText="1"/>
    </xf>
    <xf numFmtId="0" fontId="6" fillId="5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7C3"/>
      <rgbColor rgb="FF808080"/>
      <rgbColor rgb="FF9999FF"/>
      <rgbColor rgb="FF993366"/>
      <rgbColor rgb="FFFDE2E2"/>
      <rgbColor rgb="FFE8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B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B5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zoomScaleNormal="100" workbookViewId="0">
      <pane ySplit="5" topLeftCell="A20" activePane="bottomLeft" state="frozen"/>
      <selection pane="bottomLeft" activeCell="G12" sqref="G12"/>
    </sheetView>
  </sheetViews>
  <sheetFormatPr defaultColWidth="8.6640625" defaultRowHeight="14.25" x14ac:dyDescent="0.45"/>
  <cols>
    <col min="1" max="1" width="16.9296875" customWidth="1"/>
    <col min="2" max="2" width="50" customWidth="1"/>
    <col min="3" max="3" width="12" customWidth="1"/>
    <col min="4" max="4" width="11" customWidth="1"/>
    <col min="5" max="5" width="46" customWidth="1"/>
    <col min="6" max="6" width="11" customWidth="1"/>
    <col min="7" max="7" width="40" customWidth="1"/>
    <col min="8" max="8" width="8" customWidth="1"/>
    <col min="9" max="9" width="26" customWidth="1"/>
  </cols>
  <sheetData>
    <row r="1" spans="1:9" ht="17.25" customHeight="1" x14ac:dyDescent="0.5">
      <c r="A1" s="3" t="s">
        <v>0</v>
      </c>
      <c r="B1" s="3"/>
      <c r="C1" s="3"/>
      <c r="D1" s="3"/>
      <c r="E1" s="3"/>
      <c r="F1" s="3"/>
      <c r="G1" s="3"/>
      <c r="H1" s="3"/>
      <c r="I1" s="3"/>
    </row>
    <row r="2" spans="1:9" ht="33.75" customHeight="1" x14ac:dyDescent="0.4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15" customHeight="1" x14ac:dyDescent="0.45">
      <c r="A3" s="1" t="s">
        <v>2</v>
      </c>
      <c r="B3" s="1"/>
      <c r="C3" s="1"/>
      <c r="D3" s="1"/>
      <c r="E3" s="1"/>
      <c r="F3" s="1"/>
      <c r="G3" s="1"/>
      <c r="H3" s="1"/>
      <c r="I3" s="1"/>
    </row>
    <row r="5" spans="1:9" ht="23.25" customHeight="1" x14ac:dyDescent="0.4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ht="15" customHeight="1" x14ac:dyDescent="0.45">
      <c r="A6" s="5">
        <v>1</v>
      </c>
      <c r="B6" s="5" t="s">
        <v>12</v>
      </c>
      <c r="C6" s="5" t="s">
        <v>13</v>
      </c>
      <c r="D6" s="6" t="s">
        <v>14</v>
      </c>
      <c r="E6" s="5" t="s">
        <v>15</v>
      </c>
      <c r="F6" s="7" t="s">
        <v>14</v>
      </c>
      <c r="G6" s="7" t="s">
        <v>16</v>
      </c>
      <c r="H6" s="6" t="str">
        <f t="shared" ref="H6:H25" si="0">IF($D6=$F6,"YES","NO")</f>
        <v>YES</v>
      </c>
      <c r="I6" s="5"/>
    </row>
    <row r="7" spans="1:9" ht="15" customHeight="1" x14ac:dyDescent="0.45">
      <c r="A7" s="5">
        <v>2</v>
      </c>
      <c r="B7" s="5" t="s">
        <v>17</v>
      </c>
      <c r="C7" s="5" t="s">
        <v>13</v>
      </c>
      <c r="D7" s="6" t="s">
        <v>14</v>
      </c>
      <c r="E7" s="5" t="s">
        <v>18</v>
      </c>
      <c r="F7" s="7" t="s">
        <v>14</v>
      </c>
      <c r="G7" s="7" t="s">
        <v>16</v>
      </c>
      <c r="H7" s="6" t="str">
        <f t="shared" si="0"/>
        <v>YES</v>
      </c>
      <c r="I7" s="5"/>
    </row>
    <row r="8" spans="1:9" ht="15" customHeight="1" x14ac:dyDescent="0.45">
      <c r="A8" s="5">
        <v>3</v>
      </c>
      <c r="B8" s="5" t="s">
        <v>19</v>
      </c>
      <c r="C8" s="5" t="s">
        <v>13</v>
      </c>
      <c r="D8" s="6" t="s">
        <v>14</v>
      </c>
      <c r="E8" s="5" t="s">
        <v>20</v>
      </c>
      <c r="F8" s="7" t="s">
        <v>14</v>
      </c>
      <c r="G8" s="7" t="s">
        <v>16</v>
      </c>
      <c r="H8" s="6" t="str">
        <f t="shared" si="0"/>
        <v>YES</v>
      </c>
      <c r="I8" s="5"/>
    </row>
    <row r="9" spans="1:9" ht="23.25" customHeight="1" x14ac:dyDescent="0.45">
      <c r="A9" s="5">
        <v>4</v>
      </c>
      <c r="B9" s="5" t="s">
        <v>21</v>
      </c>
      <c r="C9" s="5" t="s">
        <v>13</v>
      </c>
      <c r="D9" s="6" t="s">
        <v>14</v>
      </c>
      <c r="E9" s="5" t="s">
        <v>22</v>
      </c>
      <c r="F9" s="7" t="s">
        <v>14</v>
      </c>
      <c r="G9" s="7" t="s">
        <v>16</v>
      </c>
      <c r="H9" s="6" t="str">
        <f t="shared" si="0"/>
        <v>YES</v>
      </c>
      <c r="I9" s="5"/>
    </row>
    <row r="10" spans="1:9" ht="15" customHeight="1" x14ac:dyDescent="0.45">
      <c r="A10" s="5">
        <v>5</v>
      </c>
      <c r="B10" s="5" t="s">
        <v>23</v>
      </c>
      <c r="C10" s="5" t="s">
        <v>13</v>
      </c>
      <c r="D10" s="6" t="s">
        <v>14</v>
      </c>
      <c r="E10" s="5" t="s">
        <v>24</v>
      </c>
      <c r="F10" s="7" t="s">
        <v>14</v>
      </c>
      <c r="G10" s="7" t="s">
        <v>16</v>
      </c>
      <c r="H10" s="6" t="str">
        <f t="shared" si="0"/>
        <v>YES</v>
      </c>
      <c r="I10" s="5"/>
    </row>
    <row r="11" spans="1:9" ht="15" customHeight="1" x14ac:dyDescent="0.45">
      <c r="A11" s="5">
        <v>6</v>
      </c>
      <c r="B11" s="5" t="s">
        <v>25</v>
      </c>
      <c r="C11" s="5" t="s">
        <v>13</v>
      </c>
      <c r="D11" s="6" t="s">
        <v>14</v>
      </c>
      <c r="E11" s="5" t="s">
        <v>26</v>
      </c>
      <c r="F11" s="7" t="s">
        <v>14</v>
      </c>
      <c r="G11" s="7" t="s">
        <v>16</v>
      </c>
      <c r="H11" s="6" t="str">
        <f t="shared" si="0"/>
        <v>YES</v>
      </c>
      <c r="I11" s="5"/>
    </row>
    <row r="12" spans="1:9" ht="15" customHeight="1" x14ac:dyDescent="0.45">
      <c r="A12" s="5">
        <v>7</v>
      </c>
      <c r="B12" s="5" t="s">
        <v>27</v>
      </c>
      <c r="C12" s="5" t="s">
        <v>13</v>
      </c>
      <c r="D12" s="6" t="s">
        <v>28</v>
      </c>
      <c r="E12" s="5" t="s">
        <v>29</v>
      </c>
      <c r="F12" s="7" t="s">
        <v>28</v>
      </c>
      <c r="G12" s="7" t="s">
        <v>30</v>
      </c>
      <c r="H12" s="6" t="str">
        <f t="shared" si="0"/>
        <v>YES</v>
      </c>
      <c r="I12" s="5"/>
    </row>
    <row r="13" spans="1:9" ht="15" customHeight="1" x14ac:dyDescent="0.45">
      <c r="A13" s="5">
        <v>8</v>
      </c>
      <c r="B13" s="5" t="s">
        <v>31</v>
      </c>
      <c r="C13" s="5" t="s">
        <v>13</v>
      </c>
      <c r="D13" s="6" t="s">
        <v>28</v>
      </c>
      <c r="E13" s="5" t="s">
        <v>32</v>
      </c>
      <c r="F13" s="7" t="s">
        <v>28</v>
      </c>
      <c r="G13" s="7" t="s">
        <v>33</v>
      </c>
      <c r="H13" s="6" t="str">
        <f t="shared" si="0"/>
        <v>YES</v>
      </c>
      <c r="I13" s="5"/>
    </row>
    <row r="14" spans="1:9" ht="15" customHeight="1" x14ac:dyDescent="0.45">
      <c r="A14" s="5">
        <v>9</v>
      </c>
      <c r="B14" s="5" t="s">
        <v>34</v>
      </c>
      <c r="C14" s="5" t="s">
        <v>13</v>
      </c>
      <c r="D14" s="6" t="s">
        <v>28</v>
      </c>
      <c r="E14" s="5" t="s">
        <v>35</v>
      </c>
      <c r="F14" s="7" t="s">
        <v>28</v>
      </c>
      <c r="G14" s="7" t="s">
        <v>36</v>
      </c>
      <c r="H14" s="6" t="str">
        <f t="shared" si="0"/>
        <v>YES</v>
      </c>
      <c r="I14" s="5"/>
    </row>
    <row r="15" spans="1:9" ht="15" customHeight="1" x14ac:dyDescent="0.45">
      <c r="A15" s="5">
        <v>10</v>
      </c>
      <c r="B15" s="5" t="s">
        <v>37</v>
      </c>
      <c r="C15" s="5" t="s">
        <v>13</v>
      </c>
      <c r="D15" s="6" t="s">
        <v>28</v>
      </c>
      <c r="E15" s="5" t="s">
        <v>38</v>
      </c>
      <c r="F15" s="7" t="s">
        <v>28</v>
      </c>
      <c r="G15" s="7" t="s">
        <v>39</v>
      </c>
      <c r="H15" s="6" t="str">
        <f t="shared" si="0"/>
        <v>YES</v>
      </c>
      <c r="I15" s="5"/>
    </row>
    <row r="16" spans="1:9" ht="15" customHeight="1" x14ac:dyDescent="0.45">
      <c r="A16" s="5">
        <v>11</v>
      </c>
      <c r="B16" s="5" t="s">
        <v>40</v>
      </c>
      <c r="C16" s="5" t="s">
        <v>13</v>
      </c>
      <c r="D16" s="6" t="s">
        <v>28</v>
      </c>
      <c r="E16" s="5" t="s">
        <v>41</v>
      </c>
      <c r="F16" s="7" t="s">
        <v>28</v>
      </c>
      <c r="G16" s="7" t="s">
        <v>42</v>
      </c>
      <c r="H16" s="6" t="str">
        <f t="shared" si="0"/>
        <v>YES</v>
      </c>
      <c r="I16" s="5"/>
    </row>
    <row r="17" spans="1:9" ht="15" customHeight="1" x14ac:dyDescent="0.45">
      <c r="A17" s="5">
        <v>12</v>
      </c>
      <c r="B17" s="5" t="s">
        <v>43</v>
      </c>
      <c r="C17" s="5" t="s">
        <v>13</v>
      </c>
      <c r="D17" s="6" t="s">
        <v>28</v>
      </c>
      <c r="E17" s="5" t="s">
        <v>44</v>
      </c>
      <c r="F17" s="7" t="s">
        <v>28</v>
      </c>
      <c r="G17" s="7" t="s">
        <v>45</v>
      </c>
      <c r="H17" s="6" t="str">
        <f t="shared" si="0"/>
        <v>YES</v>
      </c>
      <c r="I17" s="5"/>
    </row>
    <row r="18" spans="1:9" ht="23.25" customHeight="1" x14ac:dyDescent="0.45">
      <c r="A18" s="5">
        <v>13</v>
      </c>
      <c r="B18" s="5" t="s">
        <v>46</v>
      </c>
      <c r="C18" s="5" t="s">
        <v>47</v>
      </c>
      <c r="D18" s="6" t="s">
        <v>14</v>
      </c>
      <c r="E18" s="5" t="s">
        <v>48</v>
      </c>
      <c r="F18" s="7" t="s">
        <v>14</v>
      </c>
      <c r="G18" s="7" t="s">
        <v>16</v>
      </c>
      <c r="H18" s="6" t="str">
        <f t="shared" si="0"/>
        <v>YES</v>
      </c>
      <c r="I18" s="5"/>
    </row>
    <row r="19" spans="1:9" ht="23.25" customHeight="1" x14ac:dyDescent="0.45">
      <c r="A19" s="5">
        <v>14</v>
      </c>
      <c r="B19" s="5" t="s">
        <v>49</v>
      </c>
      <c r="C19" s="5" t="s">
        <v>47</v>
      </c>
      <c r="D19" s="6" t="s">
        <v>28</v>
      </c>
      <c r="E19" s="5" t="s">
        <v>50</v>
      </c>
      <c r="F19" s="7" t="s">
        <v>28</v>
      </c>
      <c r="G19" s="7" t="s">
        <v>51</v>
      </c>
      <c r="H19" s="6" t="str">
        <f t="shared" si="0"/>
        <v>YES</v>
      </c>
      <c r="I19" s="5"/>
    </row>
    <row r="20" spans="1:9" ht="23.25" customHeight="1" x14ac:dyDescent="0.45">
      <c r="A20" s="5">
        <v>15</v>
      </c>
      <c r="B20" s="5" t="s">
        <v>52</v>
      </c>
      <c r="C20" s="5" t="s">
        <v>47</v>
      </c>
      <c r="D20" s="6" t="s">
        <v>28</v>
      </c>
      <c r="E20" s="5" t="s">
        <v>53</v>
      </c>
      <c r="F20" s="7" t="s">
        <v>28</v>
      </c>
      <c r="G20" s="7" t="s">
        <v>54</v>
      </c>
      <c r="H20" s="6" t="str">
        <f t="shared" si="0"/>
        <v>YES</v>
      </c>
      <c r="I20" s="5"/>
    </row>
    <row r="21" spans="1:9" ht="23.25" customHeight="1" x14ac:dyDescent="0.45">
      <c r="A21" s="5">
        <v>16</v>
      </c>
      <c r="B21" s="5" t="s">
        <v>55</v>
      </c>
      <c r="C21" s="5" t="s">
        <v>47</v>
      </c>
      <c r="D21" s="6" t="s">
        <v>28</v>
      </c>
      <c r="E21" s="5" t="s">
        <v>56</v>
      </c>
      <c r="F21" s="7" t="s">
        <v>28</v>
      </c>
      <c r="G21" s="7" t="s">
        <v>57</v>
      </c>
      <c r="H21" s="6" t="str">
        <f t="shared" si="0"/>
        <v>YES</v>
      </c>
      <c r="I21" s="5"/>
    </row>
    <row r="22" spans="1:9" ht="23.25" customHeight="1" x14ac:dyDescent="0.45">
      <c r="A22" s="5">
        <v>17</v>
      </c>
      <c r="B22" s="5" t="s">
        <v>58</v>
      </c>
      <c r="C22" s="5" t="s">
        <v>47</v>
      </c>
      <c r="D22" s="6" t="s">
        <v>14</v>
      </c>
      <c r="E22" s="5" t="s">
        <v>59</v>
      </c>
      <c r="F22" s="7" t="s">
        <v>14</v>
      </c>
      <c r="G22" s="7" t="s">
        <v>60</v>
      </c>
      <c r="H22" s="6" t="str">
        <f t="shared" si="0"/>
        <v>YES</v>
      </c>
      <c r="I22" s="5"/>
    </row>
    <row r="23" spans="1:9" ht="23.25" customHeight="1" x14ac:dyDescent="0.45">
      <c r="A23" s="5">
        <v>18</v>
      </c>
      <c r="B23" s="5" t="s">
        <v>61</v>
      </c>
      <c r="C23" s="5" t="s">
        <v>47</v>
      </c>
      <c r="D23" s="6" t="s">
        <v>28</v>
      </c>
      <c r="E23" s="5" t="s">
        <v>62</v>
      </c>
      <c r="F23" s="7" t="s">
        <v>28</v>
      </c>
      <c r="G23" s="7" t="s">
        <v>57</v>
      </c>
      <c r="H23" s="6" t="str">
        <f t="shared" si="0"/>
        <v>YES</v>
      </c>
      <c r="I23" s="5"/>
    </row>
    <row r="24" spans="1:9" ht="23.25" customHeight="1" x14ac:dyDescent="0.45">
      <c r="A24" s="5">
        <v>19</v>
      </c>
      <c r="B24" s="5" t="s">
        <v>63</v>
      </c>
      <c r="C24" s="5" t="s">
        <v>47</v>
      </c>
      <c r="D24" s="6" t="s">
        <v>14</v>
      </c>
      <c r="E24" s="5" t="s">
        <v>64</v>
      </c>
      <c r="F24" s="7" t="s">
        <v>14</v>
      </c>
      <c r="G24" s="7" t="s">
        <v>65</v>
      </c>
      <c r="H24" s="6" t="str">
        <f t="shared" si="0"/>
        <v>YES</v>
      </c>
      <c r="I24" s="5"/>
    </row>
    <row r="25" spans="1:9" ht="23.25" customHeight="1" x14ac:dyDescent="0.45">
      <c r="A25" s="5">
        <v>20</v>
      </c>
      <c r="B25" s="5" t="s">
        <v>66</v>
      </c>
      <c r="C25" s="5" t="s">
        <v>47</v>
      </c>
      <c r="D25" s="6" t="s">
        <v>28</v>
      </c>
      <c r="E25" s="5" t="s">
        <v>67</v>
      </c>
      <c r="F25" s="7" t="s">
        <v>28</v>
      </c>
      <c r="G25" s="7" t="s">
        <v>68</v>
      </c>
      <c r="H25" s="6" t="str">
        <f t="shared" si="0"/>
        <v>YES</v>
      </c>
      <c r="I25" s="5"/>
    </row>
    <row r="27" spans="1:9" ht="15" customHeight="1" x14ac:dyDescent="0.45">
      <c r="A27" s="8" t="s">
        <v>69</v>
      </c>
    </row>
    <row r="28" spans="1:9" ht="15" customHeight="1" x14ac:dyDescent="0.45">
      <c r="A28" s="12" t="s">
        <v>70</v>
      </c>
      <c r="B28" s="9">
        <f>COUNTA(B6:B25)</f>
        <v>20</v>
      </c>
    </row>
    <row r="29" spans="1:9" ht="15" customHeight="1" x14ac:dyDescent="0.45">
      <c r="A29" s="12" t="s">
        <v>71</v>
      </c>
      <c r="B29" s="9">
        <f>COUNTA(F6:F25)</f>
        <v>20</v>
      </c>
    </row>
    <row r="30" spans="1:9" ht="15" customHeight="1" x14ac:dyDescent="0.45">
      <c r="A30" s="12" t="s">
        <v>72</v>
      </c>
      <c r="B30" s="9">
        <f>COUNTIF(H6:H25,"YES")</f>
        <v>20</v>
      </c>
    </row>
    <row r="31" spans="1:9" ht="15" customHeight="1" x14ac:dyDescent="0.45">
      <c r="A31" s="12" t="s">
        <v>73</v>
      </c>
      <c r="B31" s="10">
        <f>IFERROR(B30/B29,"—")</f>
        <v>1</v>
      </c>
    </row>
    <row r="32" spans="1:9" ht="15" customHeight="1" x14ac:dyDescent="0.45">
      <c r="A32" s="12" t="s">
        <v>74</v>
      </c>
      <c r="B32" s="9">
        <f>COUNTIFS(D6:D25,"ESCALATE",F6:F25,"ESCALATE")</f>
        <v>11</v>
      </c>
    </row>
    <row r="33" spans="1:2" ht="15" customHeight="1" x14ac:dyDescent="0.45">
      <c r="A33" s="12" t="s">
        <v>75</v>
      </c>
      <c r="B33" s="9">
        <f>COUNTIFS(D6:D25,"RESOLVE",F6:F25,"ESCALATE")</f>
        <v>0</v>
      </c>
    </row>
    <row r="34" spans="1:2" ht="15" customHeight="1" x14ac:dyDescent="0.45">
      <c r="A34" s="13" t="s">
        <v>76</v>
      </c>
      <c r="B34" s="11">
        <f>COUNTIFS(D6:D25,"ESCALATE",F6:F25,"RESOLVE")</f>
        <v>0</v>
      </c>
    </row>
    <row r="35" spans="1:2" ht="15" customHeight="1" x14ac:dyDescent="0.45">
      <c r="A35" s="12" t="s">
        <v>77</v>
      </c>
      <c r="B35" s="9">
        <f>COUNTIFS(D6:D25,"RESOLVE",F6:F25,"RESOLVE")</f>
        <v>9</v>
      </c>
    </row>
    <row r="36" spans="1:2" ht="15" customHeight="1" x14ac:dyDescent="0.45">
      <c r="A36" s="12" t="s">
        <v>78</v>
      </c>
      <c r="B36" s="10">
        <f>IFERROR(B32/(B32+B33),"—")</f>
        <v>1</v>
      </c>
    </row>
    <row r="37" spans="1:2" ht="15" customHeight="1" x14ac:dyDescent="0.45">
      <c r="A37" s="12" t="s">
        <v>79</v>
      </c>
      <c r="B37" s="10">
        <f>IFERROR(B32/(B32+B34),"—")</f>
        <v>1</v>
      </c>
    </row>
    <row r="38" spans="1:2" ht="15" customHeight="1" x14ac:dyDescent="0.45">
      <c r="A38" s="12" t="s">
        <v>80</v>
      </c>
      <c r="B38" s="10">
        <f>IFERROR(2*B36*B37/(B36+B37),"—")</f>
        <v>1</v>
      </c>
    </row>
    <row r="39" spans="1:2" x14ac:dyDescent="0.45">
      <c r="A39" s="14"/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Escalation Eval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Aman Behera</cp:lastModifiedBy>
  <cp:revision>0</cp:revision>
  <dcterms:created xsi:type="dcterms:W3CDTF">2026-08-29T18:34:35Z</dcterms:created>
  <dcterms:modified xsi:type="dcterms:W3CDTF">2026-08-29T20:47:57Z</dcterms:modified>
  <dc:language>en-US</dc:language>
</cp:coreProperties>
</file>